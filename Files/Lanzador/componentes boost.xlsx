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a2-my.sharepoint.com/personal/juanmrodriguez_itba_edu_ar/Documents/ITBA/DISEÑO/lanzador/"/>
    </mc:Choice>
  </mc:AlternateContent>
  <xr:revisionPtr revIDLastSave="788" documentId="8_{A409E5CE-445B-4216-BEA2-1E731106F566}" xr6:coauthVersionLast="47" xr6:coauthVersionMax="47" xr10:uidLastSave="{943A0826-490A-4D32-9F6E-5A5A00F8FCD5}"/>
  <bookViews>
    <workbookView xWindow="-108" yWindow="-108" windowWidth="23256" windowHeight="12456" activeTab="4" xr2:uid="{E1CB010D-4ECF-4473-9D3F-7A346716BA22}"/>
  </bookViews>
  <sheets>
    <sheet name="Hoja1" sheetId="1" r:id="rId1"/>
    <sheet name="Hoja2" sheetId="2" r:id="rId2"/>
    <sheet name="Comp" sheetId="3" r:id="rId3"/>
    <sheet name="Transistores Rdson" sheetId="4" r:id="rId4"/>
    <sheet name="SoftStartSW" sheetId="5" r:id="rId5"/>
    <sheet name="Componentes DriverLanzador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P14" i="5"/>
  <c r="P15" i="5" s="1"/>
  <c r="P13" i="5"/>
  <c r="L13" i="5"/>
  <c r="L7" i="5" s="1"/>
  <c r="P8" i="5"/>
  <c r="P7" i="5"/>
  <c r="L5" i="5"/>
  <c r="B13" i="5"/>
  <c r="G7" i="6"/>
  <c r="F24" i="5"/>
  <c r="F13" i="5"/>
  <c r="F8" i="5" s="1"/>
  <c r="F14" i="5"/>
  <c r="F15" i="5" s="1"/>
  <c r="G3" i="4"/>
  <c r="M8" i="3"/>
  <c r="M7" i="3"/>
  <c r="M6" i="3"/>
  <c r="M5" i="3"/>
  <c r="M3" i="3" s="1"/>
  <c r="J4" i="3"/>
  <c r="J3" i="3"/>
  <c r="B51" i="3"/>
  <c r="B47" i="3"/>
  <c r="B32" i="3"/>
  <c r="B25" i="3"/>
  <c r="B37" i="3"/>
  <c r="B36" i="3"/>
  <c r="B33" i="3"/>
  <c r="B28" i="3"/>
  <c r="B27" i="3"/>
  <c r="B26" i="3"/>
  <c r="B23" i="3"/>
  <c r="B22" i="3"/>
  <c r="B19" i="3"/>
  <c r="B18" i="3"/>
  <c r="B15" i="3"/>
  <c r="B13" i="3"/>
  <c r="F7" i="3"/>
  <c r="F6" i="3"/>
  <c r="B4" i="3"/>
  <c r="B40" i="3"/>
  <c r="F3" i="3"/>
  <c r="I9" i="2"/>
  <c r="I8" i="2"/>
  <c r="G7" i="2"/>
  <c r="B32" i="1"/>
  <c r="B26" i="1"/>
  <c r="B28" i="1"/>
  <c r="B27" i="1"/>
  <c r="B15" i="1"/>
  <c r="B36" i="1"/>
  <c r="B23" i="1"/>
  <c r="B37" i="1"/>
  <c r="B22" i="1"/>
  <c r="B19" i="1"/>
  <c r="B13" i="1"/>
  <c r="B18" i="1"/>
  <c r="B4" i="1"/>
  <c r="B8" i="1"/>
  <c r="F3" i="1"/>
  <c r="F6" i="1"/>
  <c r="B8" i="3"/>
  <c r="B16" i="3"/>
  <c r="B16" i="1"/>
  <c r="B40" i="1"/>
  <c r="B33" i="1"/>
  <c r="F7" i="1"/>
  <c r="F7" i="5" l="1"/>
  <c r="L8" i="5"/>
  <c r="L9" i="5" s="1"/>
  <c r="L6" i="5" s="1"/>
  <c r="P9" i="5"/>
  <c r="B8" i="5"/>
  <c r="B7" i="5"/>
  <c r="B9" i="5" s="1"/>
  <c r="B6" i="5"/>
  <c r="F9" i="5"/>
  <c r="F3" i="5" s="1"/>
  <c r="F19" i="5" s="1"/>
  <c r="P3" i="5" l="1"/>
  <c r="P19" i="5" s="1"/>
</calcChain>
</file>

<file path=xl/sharedStrings.xml><?xml version="1.0" encoding="utf-8"?>
<sst xmlns="http://schemas.openxmlformats.org/spreadsheetml/2006/main" count="465" uniqueCount="215">
  <si>
    <t>UC3843</t>
  </si>
  <si>
    <t>I_sense</t>
  </si>
  <si>
    <t>Vin</t>
  </si>
  <si>
    <t>Vo</t>
  </si>
  <si>
    <t>L_boundary</t>
  </si>
  <si>
    <t>fs</t>
  </si>
  <si>
    <t>2° Etapa</t>
  </si>
  <si>
    <t>1° Etapa</t>
  </si>
  <si>
    <t>MT3608</t>
  </si>
  <si>
    <t>Io_max</t>
  </si>
  <si>
    <t xml:space="preserve">Vin </t>
  </si>
  <si>
    <t>Comentario</t>
  </si>
  <si>
    <t xml:space="preserve">Configurada </t>
  </si>
  <si>
    <t>Salida de la primer etapa</t>
  </si>
  <si>
    <t>hasta 500kHz</t>
  </si>
  <si>
    <t>Buscamos menor para DCM</t>
  </si>
  <si>
    <t>I_in_media</t>
  </si>
  <si>
    <t>Suponiendo CCM y eficiencia 100%</t>
  </si>
  <si>
    <t>I_in_potencia</t>
  </si>
  <si>
    <t>Por balance de Potencias y eficiencia n</t>
  </si>
  <si>
    <t>n</t>
  </si>
  <si>
    <t xml:space="preserve">Eficiencia del módulo </t>
  </si>
  <si>
    <t>Componentes</t>
  </si>
  <si>
    <t>L</t>
  </si>
  <si>
    <t>Valor</t>
  </si>
  <si>
    <t xml:space="preserve">Comentario </t>
  </si>
  <si>
    <t xml:space="preserve">Modelo </t>
  </si>
  <si>
    <t>link</t>
  </si>
  <si>
    <t>I_max = 0.5A según I_sense</t>
  </si>
  <si>
    <t>MOSFET</t>
  </si>
  <si>
    <t>Vds&gt;200V, I_ds&gt;1A, P</t>
  </si>
  <si>
    <t>C_vcc</t>
  </si>
  <si>
    <t>C_t</t>
  </si>
  <si>
    <t>R_t</t>
  </si>
  <si>
    <t>R_sense</t>
  </si>
  <si>
    <t>R_lp</t>
  </si>
  <si>
    <t>C_lp</t>
  </si>
  <si>
    <t>Rf_top</t>
  </si>
  <si>
    <t>Rf_bottom</t>
  </si>
  <si>
    <t>D_max</t>
  </si>
  <si>
    <t>t_dead</t>
  </si>
  <si>
    <t xml:space="preserve">según grafica Ct=1nF-&gt;t_dead= 300ns </t>
  </si>
  <si>
    <t>R_t para 100kHz</t>
  </si>
  <si>
    <t>Duty máximo según Ct, mínimo 0.87</t>
  </si>
  <si>
    <t>Vth = 1V, define maxima corriente en L.</t>
  </si>
  <si>
    <t>RC para señal de sense</t>
  </si>
  <si>
    <t>Rcomp</t>
  </si>
  <si>
    <t>Ccomp</t>
  </si>
  <si>
    <t>Rf_top_max</t>
  </si>
  <si>
    <t>i_bias=2uA, DeltaVo_max=100mV</t>
  </si>
  <si>
    <t>G_dc</t>
  </si>
  <si>
    <t>Mínimo por OpAmp interno, Rcomp&gt;7k</t>
  </si>
  <si>
    <t>DeltaVo</t>
  </si>
  <si>
    <t>Consecuencia de i_bias=2uA</t>
  </si>
  <si>
    <t>f_polo</t>
  </si>
  <si>
    <t>i_f</t>
  </si>
  <si>
    <t>Corriente de perdida en feedback</t>
  </si>
  <si>
    <t>diodo_pwm</t>
  </si>
  <si>
    <t>Rgate</t>
  </si>
  <si>
    <t>Limita la corriente de gate</t>
  </si>
  <si>
    <t>Igate_max</t>
  </si>
  <si>
    <t>Shottky, Vf&lt;0.3V a 200mA</t>
  </si>
  <si>
    <t>C_vref</t>
  </si>
  <si>
    <t>Ceramico multicapa</t>
  </si>
  <si>
    <t>Según grafica datasheet, ceramico preciso</t>
  </si>
  <si>
    <t>IRF630</t>
  </si>
  <si>
    <t>Diodo Ultra Rápido</t>
  </si>
  <si>
    <t>UF4005</t>
  </si>
  <si>
    <t>ES1J</t>
  </si>
  <si>
    <t>through hole</t>
  </si>
  <si>
    <t>SMD</t>
  </si>
  <si>
    <t>SS14</t>
  </si>
  <si>
    <t>R_t_real</t>
  </si>
  <si>
    <t>L_boundary_real</t>
  </si>
  <si>
    <t>fs para Rt real</t>
  </si>
  <si>
    <t>L boundary para fs real</t>
  </si>
  <si>
    <t>Rf_bottom_min</t>
  </si>
  <si>
    <t>Rf_bottom_max</t>
  </si>
  <si>
    <t>Vo_max</t>
  </si>
  <si>
    <t>Vo_min</t>
  </si>
  <si>
    <t>Vo según Rtop y Rbott</t>
  </si>
  <si>
    <t>Rf_bott_1</t>
  </si>
  <si>
    <t>Rf_bott_2_1</t>
  </si>
  <si>
    <t>Rf_bott_2_2</t>
  </si>
  <si>
    <t>Rf_bott_real</t>
  </si>
  <si>
    <t>preset</t>
  </si>
  <si>
    <t>0.5ms</t>
  </si>
  <si>
    <t>1ms</t>
  </si>
  <si>
    <t>Vth = 1V, define maxima corriente en L. 1/4W</t>
  </si>
  <si>
    <t>100uH, 1A</t>
  </si>
  <si>
    <t>8.2k</t>
  </si>
  <si>
    <t>2 ,1/4W o mas</t>
  </si>
  <si>
    <t>220k</t>
  </si>
  <si>
    <t>Rf_bott_2</t>
  </si>
  <si>
    <t>10k</t>
  </si>
  <si>
    <t>6.2k</t>
  </si>
  <si>
    <t>Rf_preset</t>
  </si>
  <si>
    <t>50k</t>
  </si>
  <si>
    <t>R_comp</t>
  </si>
  <si>
    <t>100k</t>
  </si>
  <si>
    <t>C_comp</t>
  </si>
  <si>
    <t>R_g</t>
  </si>
  <si>
    <t>22, 1/4W</t>
  </si>
  <si>
    <t>UC3843D8</t>
  </si>
  <si>
    <t>1k</t>
  </si>
  <si>
    <t>100u, 150/200V</t>
  </si>
  <si>
    <t>100n,16V</t>
  </si>
  <si>
    <t>1u,16V</t>
  </si>
  <si>
    <t>THT</t>
  </si>
  <si>
    <t>THT/SMD</t>
  </si>
  <si>
    <t>C_vin_1</t>
  </si>
  <si>
    <t>C_vin_2</t>
  </si>
  <si>
    <t>100n, 150/200V</t>
  </si>
  <si>
    <t>Co_1</t>
  </si>
  <si>
    <t>Co_2</t>
  </si>
  <si>
    <t>Cantidad</t>
  </si>
  <si>
    <t>Regulador 5V</t>
  </si>
  <si>
    <t>Driver PWM</t>
  </si>
  <si>
    <t>Oscilador</t>
  </si>
  <si>
    <t>UA78M05</t>
  </si>
  <si>
    <t>NE555DR</t>
  </si>
  <si>
    <t>diodo Schottky</t>
  </si>
  <si>
    <t>Tipo</t>
  </si>
  <si>
    <t>Modelo</t>
  </si>
  <si>
    <t>Componente</t>
  </si>
  <si>
    <t>elemon</t>
  </si>
  <si>
    <t>gm elect</t>
  </si>
  <si>
    <t>0805</t>
  </si>
  <si>
    <t>10n,16V,NP0</t>
  </si>
  <si>
    <t>470p,16V,NP0</t>
  </si>
  <si>
    <t>2.2nF,16V,NP0</t>
  </si>
  <si>
    <t>1210</t>
  </si>
  <si>
    <t>CA3629295</t>
  </si>
  <si>
    <t>470u,25V</t>
  </si>
  <si>
    <t>IRF640S</t>
  </si>
  <si>
    <t>x</t>
  </si>
  <si>
    <t>f_lp</t>
  </si>
  <si>
    <t>f_lp_2</t>
  </si>
  <si>
    <t>clp2</t>
  </si>
  <si>
    <t>rlp2</t>
  </si>
  <si>
    <t>Eo</t>
  </si>
  <si>
    <t>Co</t>
  </si>
  <si>
    <t>Epump</t>
  </si>
  <si>
    <t>Cpump</t>
  </si>
  <si>
    <t>Vpump</t>
  </si>
  <si>
    <t>Npump</t>
  </si>
  <si>
    <t>Ts</t>
  </si>
  <si>
    <t>T_total</t>
  </si>
  <si>
    <t xml:space="preserve">Item </t>
  </si>
  <si>
    <t>AO3401</t>
  </si>
  <si>
    <t>AO4423</t>
  </si>
  <si>
    <t>AO3400</t>
  </si>
  <si>
    <t>AO4407</t>
  </si>
  <si>
    <t>I_inrush</t>
  </si>
  <si>
    <t>R1</t>
  </si>
  <si>
    <t>R2</t>
  </si>
  <si>
    <t>C1</t>
  </si>
  <si>
    <t>gfm</t>
  </si>
  <si>
    <t>Vth</t>
  </si>
  <si>
    <t>Vsg_max</t>
  </si>
  <si>
    <t>Ciss</t>
  </si>
  <si>
    <t>Coss</t>
  </si>
  <si>
    <t>Vpl</t>
  </si>
  <si>
    <t>Cload</t>
  </si>
  <si>
    <t>R pull up</t>
  </si>
  <si>
    <t>R g</t>
  </si>
  <si>
    <t>Vsg</t>
  </si>
  <si>
    <t>VDD</t>
  </si>
  <si>
    <t>Vg</t>
  </si>
  <si>
    <t>i_g</t>
  </si>
  <si>
    <t>i_g_r1</t>
  </si>
  <si>
    <t>i_g_r2</t>
  </si>
  <si>
    <t>Calculos</t>
  </si>
  <si>
    <t>dt</t>
  </si>
  <si>
    <t>Rtop</t>
  </si>
  <si>
    <t>Rbott</t>
  </si>
  <si>
    <t>V12</t>
  </si>
  <si>
    <t>Switch Load</t>
  </si>
  <si>
    <t>Disparo Rele</t>
  </si>
  <si>
    <t>Bleeding</t>
  </si>
  <si>
    <t>LTV817S</t>
  </si>
  <si>
    <t>optocoplador</t>
  </si>
  <si>
    <t>MOSFET-P</t>
  </si>
  <si>
    <t>MOSFET-N</t>
  </si>
  <si>
    <t>2N7002</t>
  </si>
  <si>
    <t>IRF7425PBF</t>
  </si>
  <si>
    <t>Cap_GD</t>
  </si>
  <si>
    <t>10n</t>
  </si>
  <si>
    <t>Proveedor</t>
  </si>
  <si>
    <t>Elemon</t>
  </si>
  <si>
    <t>diodo rele</t>
  </si>
  <si>
    <t>1n4148W</t>
  </si>
  <si>
    <t>SDV</t>
  </si>
  <si>
    <t>diodo solenoide</t>
  </si>
  <si>
    <t>zener 8.2V</t>
  </si>
  <si>
    <t>zener 12V</t>
  </si>
  <si>
    <t>BZV55C12</t>
  </si>
  <si>
    <t>BZV55C8V2</t>
  </si>
  <si>
    <t>IRFL110</t>
  </si>
  <si>
    <t>Sensor</t>
  </si>
  <si>
    <t>BME280</t>
  </si>
  <si>
    <t>MCP1826S</t>
  </si>
  <si>
    <t>Regulador LDO</t>
  </si>
  <si>
    <t>PlacaESP</t>
  </si>
  <si>
    <t>Res</t>
  </si>
  <si>
    <t>2.7k 3W</t>
  </si>
  <si>
    <t>Pila</t>
  </si>
  <si>
    <t>P18650C</t>
  </si>
  <si>
    <t>Boost 80V</t>
  </si>
  <si>
    <t>47uF 160V</t>
  </si>
  <si>
    <t>HJQ-13F-2ZP</t>
  </si>
  <si>
    <t>Rele</t>
  </si>
  <si>
    <t>Rdiodo</t>
  </si>
  <si>
    <t>SW1</t>
  </si>
  <si>
    <t>SW2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</si>
</sst>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E+00"/>
    <numFmt numFmtId="166" formatCode="0.000E+00"/>
  </numFmts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9"/>
      <color rgb="FF243B53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/>
    <xf numFmtId="11" fontId="0" fillId="2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0" fontId="0" fillId="0" borderId="1" xfId="0" applyBorder="1"/>
    <xf numFmtId="11" fontId="0" fillId="4" borderId="1" xfId="0" applyNumberFormat="1" applyFill="1" applyBorder="1"/>
    <xf numFmtId="0" fontId="0" fillId="5" borderId="1" xfId="0" applyFill="1" applyBorder="1"/>
    <xf numFmtId="11" fontId="0" fillId="5" borderId="1" xfId="0" applyNumberFormat="1" applyFill="1" applyBorder="1"/>
    <xf numFmtId="2" fontId="0" fillId="5" borderId="1" xfId="0" applyNumberFormat="1" applyFill="1" applyBorder="1"/>
    <xf numFmtId="164" fontId="0" fillId="5" borderId="1" xfId="0" applyNumberFormat="1" applyFill="1" applyBorder="1"/>
    <xf numFmtId="0" fontId="1" fillId="0" borderId="0" xfId="0" applyFont="1"/>
    <xf numFmtId="0" fontId="0" fillId="2" borderId="0" xfId="0" applyFill="1"/>
    <xf numFmtId="1" fontId="0" fillId="4" borderId="1" xfId="0" applyNumberFormat="1" applyFill="1" applyBorder="1"/>
    <xf numFmtId="0" fontId="0" fillId="0" borderId="2" xfId="0" applyBorder="1"/>
    <xf numFmtId="0" fontId="0" fillId="6" borderId="1" xfId="0" applyFill="1" applyBorder="1"/>
    <xf numFmtId="0" fontId="0" fillId="6" borderId="2" xfId="0" applyFill="1" applyBorder="1"/>
    <xf numFmtId="0" fontId="0" fillId="6" borderId="0" xfId="0" applyFill="1"/>
    <xf numFmtId="49" fontId="0" fillId="0" borderId="1" xfId="0" applyNumberFormat="1" applyBorder="1"/>
    <xf numFmtId="49" fontId="0" fillId="6" borderId="1" xfId="0" applyNumberFormat="1" applyFill="1" applyBorder="1"/>
    <xf numFmtId="0" fontId="2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3" fontId="0" fillId="0" borderId="0" xfId="0" applyNumberFormat="1"/>
    <xf numFmtId="0" fontId="0" fillId="7" borderId="1" xfId="0" applyFill="1" applyBorder="1"/>
    <xf numFmtId="11" fontId="0" fillId="7" borderId="1" xfId="0" applyNumberFormat="1" applyFill="1" applyBorder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8" borderId="0" xfId="0" applyFill="1"/>
    <xf numFmtId="0" fontId="0" fillId="9" borderId="0" xfId="0" applyFill="1"/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A6694-49B0-4E0A-A535-C48DB2FAEE8E}">
  <dimension ref="A1:I44"/>
  <sheetViews>
    <sheetView zoomScale="85" zoomScaleNormal="85" workbookViewId="0">
      <selection activeCell="A3" sqref="A3"/>
    </sheetView>
  </sheetViews>
  <sheetFormatPr baseColWidth="10" defaultColWidth="10.77734375" defaultRowHeight="14.4" x14ac:dyDescent="0.3"/>
  <cols>
    <col min="1" max="1" width="14.21875" customWidth="1"/>
    <col min="2" max="2" width="13.44140625" customWidth="1"/>
    <col min="3" max="3" width="36.88671875" customWidth="1"/>
    <col min="7" max="7" width="31.88671875" customWidth="1"/>
  </cols>
  <sheetData>
    <row r="1" spans="1:9" x14ac:dyDescent="0.3">
      <c r="A1" s="1" t="s">
        <v>6</v>
      </c>
      <c r="B1" s="1" t="s">
        <v>0</v>
      </c>
      <c r="C1" s="1" t="s">
        <v>11</v>
      </c>
      <c r="E1" s="3" t="s">
        <v>7</v>
      </c>
      <c r="F1" s="3" t="s">
        <v>8</v>
      </c>
      <c r="G1" s="3" t="s">
        <v>11</v>
      </c>
    </row>
    <row r="3" spans="1:9" x14ac:dyDescent="0.3">
      <c r="A3" s="1" t="s">
        <v>1</v>
      </c>
      <c r="B3" s="1">
        <v>0.5</v>
      </c>
      <c r="C3" s="1" t="s">
        <v>12</v>
      </c>
      <c r="E3" s="3" t="s">
        <v>9</v>
      </c>
      <c r="F3" s="3">
        <f>B3/2</f>
        <v>0.25</v>
      </c>
      <c r="G3" s="3"/>
    </row>
    <row r="4" spans="1:9" x14ac:dyDescent="0.3">
      <c r="A4" s="1" t="s">
        <v>2</v>
      </c>
      <c r="B4" s="1">
        <f>F5</f>
        <v>12</v>
      </c>
      <c r="C4" s="1" t="s">
        <v>13</v>
      </c>
      <c r="E4" s="3" t="s">
        <v>10</v>
      </c>
      <c r="F4" s="3">
        <v>3.7</v>
      </c>
      <c r="G4" s="3"/>
    </row>
    <row r="5" spans="1:9" x14ac:dyDescent="0.3">
      <c r="A5" s="1" t="s">
        <v>78</v>
      </c>
      <c r="B5" s="1">
        <v>90</v>
      </c>
      <c r="C5" s="1"/>
      <c r="E5" s="3" t="s">
        <v>3</v>
      </c>
      <c r="F5" s="3">
        <v>12</v>
      </c>
      <c r="G5" s="3"/>
    </row>
    <row r="6" spans="1:9" x14ac:dyDescent="0.3">
      <c r="A6" s="13" t="s">
        <v>79</v>
      </c>
      <c r="B6" s="1">
        <v>40</v>
      </c>
      <c r="C6" s="1"/>
      <c r="E6" s="3" t="s">
        <v>16</v>
      </c>
      <c r="F6" s="4">
        <f>F3*(F5/F4)</f>
        <v>0.81081081081081074</v>
      </c>
      <c r="G6" s="3" t="s">
        <v>17</v>
      </c>
    </row>
    <row r="7" spans="1:9" x14ac:dyDescent="0.3">
      <c r="A7" s="1" t="s">
        <v>5</v>
      </c>
      <c r="B7" s="2">
        <v>100000</v>
      </c>
      <c r="C7" s="1" t="s">
        <v>14</v>
      </c>
      <c r="E7" s="3" t="s">
        <v>18</v>
      </c>
      <c r="F7" s="3">
        <f>((F5*F3)/F4)/F8</f>
        <v>0.95389507154213027</v>
      </c>
      <c r="G7" s="3" t="s">
        <v>19</v>
      </c>
    </row>
    <row r="8" spans="1:9" x14ac:dyDescent="0.3">
      <c r="A8" s="1" t="s">
        <v>4</v>
      </c>
      <c r="B8" s="2">
        <f>((B5-B4)*B4)/(B3*B7*B5)</f>
        <v>2.0799999999999999E-4</v>
      </c>
      <c r="C8" s="1" t="s">
        <v>15</v>
      </c>
      <c r="E8" s="3" t="s">
        <v>20</v>
      </c>
      <c r="F8" s="3">
        <v>0.85</v>
      </c>
      <c r="G8" s="3" t="s">
        <v>21</v>
      </c>
    </row>
    <row r="10" spans="1:9" x14ac:dyDescent="0.3">
      <c r="A10" s="5" t="s">
        <v>22</v>
      </c>
      <c r="B10" s="5" t="s">
        <v>24</v>
      </c>
      <c r="C10" s="5" t="s">
        <v>25</v>
      </c>
      <c r="D10" s="5" t="s">
        <v>26</v>
      </c>
      <c r="E10" s="5" t="s">
        <v>27</v>
      </c>
    </row>
    <row r="11" spans="1:9" x14ac:dyDescent="0.3">
      <c r="A11" s="5" t="s">
        <v>23</v>
      </c>
      <c r="B11" s="7">
        <v>1E-4</v>
      </c>
      <c r="C11" s="5" t="s">
        <v>28</v>
      </c>
      <c r="D11" s="5"/>
      <c r="E11" s="5"/>
    </row>
    <row r="12" spans="1:9" x14ac:dyDescent="0.3">
      <c r="A12" s="5" t="s">
        <v>32</v>
      </c>
      <c r="B12" s="7">
        <v>2.1999999999999998E-9</v>
      </c>
      <c r="C12" s="5" t="s">
        <v>64</v>
      </c>
      <c r="D12" s="5"/>
      <c r="E12" s="5"/>
      <c r="G12" t="s">
        <v>29</v>
      </c>
      <c r="H12" t="s">
        <v>65</v>
      </c>
      <c r="I12" t="s">
        <v>30</v>
      </c>
    </row>
    <row r="13" spans="1:9" x14ac:dyDescent="0.3">
      <c r="A13" s="8" t="s">
        <v>33</v>
      </c>
      <c r="B13" s="9">
        <f>1.72/((B7/1000)*(B12/0.000001))*1000</f>
        <v>7818.181818181818</v>
      </c>
      <c r="C13" s="8" t="s">
        <v>42</v>
      </c>
      <c r="D13" s="8"/>
      <c r="E13" s="8"/>
      <c r="G13" t="s">
        <v>66</v>
      </c>
      <c r="H13" t="s">
        <v>67</v>
      </c>
      <c r="I13" t="s">
        <v>69</v>
      </c>
    </row>
    <row r="14" spans="1:9" x14ac:dyDescent="0.3">
      <c r="A14" s="5" t="s">
        <v>72</v>
      </c>
      <c r="B14" s="7">
        <v>8200</v>
      </c>
      <c r="C14" s="5"/>
      <c r="D14" s="5"/>
      <c r="E14" s="5"/>
      <c r="G14" t="s">
        <v>66</v>
      </c>
      <c r="H14" t="s">
        <v>68</v>
      </c>
      <c r="I14" t="s">
        <v>70</v>
      </c>
    </row>
    <row r="15" spans="1:9" x14ac:dyDescent="0.3">
      <c r="A15" s="8" t="s">
        <v>5</v>
      </c>
      <c r="B15" s="10">
        <f>1.72/((B14/1000)*(B12/0.000001))*1000</f>
        <v>95343.680709534368</v>
      </c>
      <c r="C15" s="8" t="s">
        <v>74</v>
      </c>
      <c r="D15" s="8"/>
      <c r="E15" s="8"/>
    </row>
    <row r="16" spans="1:9" x14ac:dyDescent="0.3">
      <c r="A16" s="8" t="s">
        <v>73</v>
      </c>
      <c r="B16" s="9">
        <f>((B5-B4)*B4)/(B3*B15*B5)</f>
        <v>2.1815813953488374E-4</v>
      </c>
      <c r="C16" s="8" t="s">
        <v>75</v>
      </c>
      <c r="D16" s="8"/>
      <c r="E16" s="8"/>
    </row>
    <row r="17" spans="1:5" x14ac:dyDescent="0.3">
      <c r="A17" s="8" t="s">
        <v>40</v>
      </c>
      <c r="B17" s="9">
        <v>2.9999999999999999E-7</v>
      </c>
      <c r="C17" s="8" t="s">
        <v>41</v>
      </c>
      <c r="D17" s="8"/>
      <c r="E17" s="8"/>
    </row>
    <row r="18" spans="1:5" x14ac:dyDescent="0.3">
      <c r="A18" s="8" t="s">
        <v>39</v>
      </c>
      <c r="B18" s="10">
        <f>1-B17*B7</f>
        <v>0.97</v>
      </c>
      <c r="C18" s="8" t="s">
        <v>43</v>
      </c>
      <c r="D18" s="8"/>
      <c r="E18" s="8"/>
    </row>
    <row r="19" spans="1:5" x14ac:dyDescent="0.3">
      <c r="A19" s="5" t="s">
        <v>34</v>
      </c>
      <c r="B19" s="5">
        <f>1/B3</f>
        <v>2</v>
      </c>
      <c r="C19" s="5" t="s">
        <v>44</v>
      </c>
      <c r="D19" s="5"/>
      <c r="E19" s="5"/>
    </row>
    <row r="20" spans="1:5" x14ac:dyDescent="0.3">
      <c r="A20" s="5" t="s">
        <v>35</v>
      </c>
      <c r="B20" s="5">
        <v>1000</v>
      </c>
      <c r="C20" s="5" t="s">
        <v>45</v>
      </c>
      <c r="D20" s="5"/>
      <c r="E20" s="5"/>
    </row>
    <row r="21" spans="1:5" x14ac:dyDescent="0.3">
      <c r="A21" s="5" t="s">
        <v>36</v>
      </c>
      <c r="B21" s="7">
        <v>4.7000000000000003E-10</v>
      </c>
      <c r="C21" s="5" t="s">
        <v>45</v>
      </c>
      <c r="D21" s="5"/>
      <c r="E21" s="5"/>
    </row>
    <row r="22" spans="1:5" x14ac:dyDescent="0.3">
      <c r="A22" s="8" t="s">
        <v>48</v>
      </c>
      <c r="B22" s="8">
        <f>0.1/0.000002</f>
        <v>50000.000000000007</v>
      </c>
      <c r="C22" s="8" t="s">
        <v>49</v>
      </c>
      <c r="D22" s="8"/>
      <c r="E22" s="8"/>
    </row>
    <row r="23" spans="1:5" x14ac:dyDescent="0.3">
      <c r="A23" s="8" t="s">
        <v>52</v>
      </c>
      <c r="B23" s="8">
        <f>B24*0.000002</f>
        <v>0.44</v>
      </c>
      <c r="C23" s="8" t="s">
        <v>53</v>
      </c>
      <c r="D23" s="8"/>
      <c r="E23" s="8"/>
    </row>
    <row r="24" spans="1:5" x14ac:dyDescent="0.3">
      <c r="A24" s="5" t="s">
        <v>37</v>
      </c>
      <c r="B24" s="5">
        <v>220000</v>
      </c>
      <c r="C24" s="5"/>
      <c r="D24" s="5"/>
      <c r="E24" s="5"/>
    </row>
    <row r="25" spans="1:5" x14ac:dyDescent="0.3">
      <c r="A25" s="8" t="s">
        <v>38</v>
      </c>
      <c r="B25" s="10">
        <v>82000</v>
      </c>
      <c r="C25" s="8"/>
      <c r="D25" s="8"/>
      <c r="E25" s="8"/>
    </row>
    <row r="26" spans="1:5" x14ac:dyDescent="0.3">
      <c r="A26" s="8" t="s">
        <v>3</v>
      </c>
      <c r="B26" s="10">
        <f>2.5*(B24+B25)/B25</f>
        <v>9.2073170731707314</v>
      </c>
      <c r="C26" s="8" t="s">
        <v>80</v>
      </c>
      <c r="D26" s="8"/>
      <c r="E26" s="8"/>
    </row>
    <row r="27" spans="1:5" x14ac:dyDescent="0.3">
      <c r="A27" s="8" t="s">
        <v>76</v>
      </c>
      <c r="B27" s="10">
        <f>B24/((B5/2.5) - 1)</f>
        <v>6285.7142857142853</v>
      </c>
      <c r="C27" s="8" t="s">
        <v>78</v>
      </c>
      <c r="D27" s="8"/>
      <c r="E27" s="8"/>
    </row>
    <row r="28" spans="1:5" x14ac:dyDescent="0.3">
      <c r="A28" s="8" t="s">
        <v>77</v>
      </c>
      <c r="B28" s="10">
        <f>B24/((B6/2.5) - 1)</f>
        <v>14666.666666666666</v>
      </c>
      <c r="C28" s="8" t="s">
        <v>79</v>
      </c>
      <c r="D28" s="8"/>
      <c r="E28" s="8"/>
    </row>
    <row r="29" spans="1:5" x14ac:dyDescent="0.3">
      <c r="A29" s="5" t="s">
        <v>81</v>
      </c>
      <c r="B29" s="14">
        <v>6200</v>
      </c>
      <c r="C29" s="5"/>
      <c r="D29" s="5"/>
      <c r="E29" s="5"/>
    </row>
    <row r="30" spans="1:5" x14ac:dyDescent="0.3">
      <c r="A30" s="5" t="s">
        <v>82</v>
      </c>
      <c r="B30" s="14">
        <v>50000</v>
      </c>
      <c r="C30" s="5" t="s">
        <v>85</v>
      </c>
      <c r="D30" s="5"/>
      <c r="E30" s="5"/>
    </row>
    <row r="31" spans="1:5" x14ac:dyDescent="0.3">
      <c r="A31" s="5" t="s">
        <v>83</v>
      </c>
      <c r="B31" s="14">
        <v>10000</v>
      </c>
      <c r="C31" s="5"/>
      <c r="D31" s="5"/>
      <c r="E31" s="5"/>
    </row>
    <row r="32" spans="1:5" x14ac:dyDescent="0.3">
      <c r="A32" s="8" t="s">
        <v>84</v>
      </c>
      <c r="B32" s="10">
        <f>B29+(B30*B31)/(B30+B31)</f>
        <v>14533.333333333334</v>
      </c>
      <c r="C32" s="8"/>
      <c r="D32" s="8"/>
      <c r="E32" s="8"/>
    </row>
    <row r="33" spans="1:9" x14ac:dyDescent="0.3">
      <c r="A33" s="8" t="s">
        <v>55</v>
      </c>
      <c r="B33" s="9">
        <f>B5/(B25+B24)</f>
        <v>2.9801324503311258E-4</v>
      </c>
      <c r="C33" s="8" t="s">
        <v>56</v>
      </c>
      <c r="D33" s="8"/>
      <c r="E33" s="8"/>
    </row>
    <row r="34" spans="1:9" x14ac:dyDescent="0.3">
      <c r="A34" s="5" t="s">
        <v>46</v>
      </c>
      <c r="B34" s="5">
        <v>100000</v>
      </c>
      <c r="C34" s="5" t="s">
        <v>51</v>
      </c>
      <c r="D34" s="5"/>
      <c r="E34" s="5"/>
    </row>
    <row r="35" spans="1:9" x14ac:dyDescent="0.3">
      <c r="A35" s="5" t="s">
        <v>47</v>
      </c>
      <c r="B35" s="7">
        <v>1E-8</v>
      </c>
      <c r="C35" s="5"/>
      <c r="D35" s="5"/>
      <c r="E35" s="5"/>
    </row>
    <row r="36" spans="1:9" x14ac:dyDescent="0.3">
      <c r="A36" s="8" t="s">
        <v>54</v>
      </c>
      <c r="B36" s="10">
        <f>1/(2*PI()*B34*B35)</f>
        <v>159.15494309189535</v>
      </c>
      <c r="C36" s="8"/>
      <c r="D36" s="8"/>
      <c r="E36" s="8"/>
    </row>
    <row r="37" spans="1:9" x14ac:dyDescent="0.3">
      <c r="A37" s="8" t="s">
        <v>50</v>
      </c>
      <c r="B37" s="10">
        <f>B34/((B24*B25)/(B24+B25))</f>
        <v>1.6740576496674058</v>
      </c>
      <c r="C37" s="8"/>
      <c r="D37" s="8"/>
      <c r="E37" s="8"/>
    </row>
    <row r="38" spans="1:9" x14ac:dyDescent="0.3">
      <c r="A38" s="5" t="s">
        <v>57</v>
      </c>
      <c r="B38" s="5" t="s">
        <v>71</v>
      </c>
      <c r="C38" s="5" t="s">
        <v>61</v>
      </c>
      <c r="D38" s="5"/>
      <c r="E38" s="5"/>
    </row>
    <row r="39" spans="1:9" x14ac:dyDescent="0.3">
      <c r="A39" s="5" t="s">
        <v>58</v>
      </c>
      <c r="B39" s="5">
        <v>22</v>
      </c>
      <c r="C39" s="5" t="s">
        <v>59</v>
      </c>
      <c r="D39" s="5"/>
      <c r="E39" s="5"/>
    </row>
    <row r="40" spans="1:9" x14ac:dyDescent="0.3">
      <c r="A40" s="8" t="s">
        <v>60</v>
      </c>
      <c r="B40" s="11">
        <f>B4/B39</f>
        <v>0.54545454545454541</v>
      </c>
      <c r="C40" s="8"/>
      <c r="D40" s="8"/>
      <c r="E40" s="8"/>
    </row>
    <row r="41" spans="1:9" x14ac:dyDescent="0.3">
      <c r="A41" s="5" t="s">
        <v>31</v>
      </c>
      <c r="B41" s="7">
        <v>9.9999999999999995E-8</v>
      </c>
      <c r="C41" s="5" t="s">
        <v>63</v>
      </c>
      <c r="D41" s="5"/>
      <c r="E41" s="5"/>
    </row>
    <row r="42" spans="1:9" x14ac:dyDescent="0.3">
      <c r="A42" s="5" t="s">
        <v>62</v>
      </c>
      <c r="B42" s="7">
        <v>9.9999999999999995E-7</v>
      </c>
      <c r="C42" s="5" t="s">
        <v>63</v>
      </c>
      <c r="D42" s="5"/>
      <c r="E42" s="5"/>
    </row>
    <row r="43" spans="1:9" x14ac:dyDescent="0.3">
      <c r="A43" s="8"/>
      <c r="B43" s="9"/>
      <c r="C43" s="8"/>
      <c r="D43" s="8"/>
      <c r="E43" s="8"/>
      <c r="I43" s="12"/>
    </row>
    <row r="44" spans="1:9" x14ac:dyDescent="0.3">
      <c r="A44" s="6"/>
      <c r="B44" s="6"/>
      <c r="C44" s="6"/>
      <c r="D44" s="6"/>
      <c r="E4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179D-F1FF-4CAD-A8F3-F1919A0C831A}">
  <dimension ref="G7:I9"/>
  <sheetViews>
    <sheetView workbookViewId="0">
      <selection activeCell="I9" sqref="I9"/>
    </sheetView>
  </sheetViews>
  <sheetFormatPr baseColWidth="10" defaultColWidth="10.77734375" defaultRowHeight="14.4" x14ac:dyDescent="0.3"/>
  <sheetData>
    <row r="7" spans="7:9" x14ac:dyDescent="0.3">
      <c r="G7">
        <f>1/500</f>
        <v>2E-3</v>
      </c>
    </row>
    <row r="8" spans="7:9" x14ac:dyDescent="0.3">
      <c r="G8" t="s">
        <v>86</v>
      </c>
      <c r="H8" t="s">
        <v>87</v>
      </c>
      <c r="I8">
        <f>1/0.001</f>
        <v>1000</v>
      </c>
    </row>
    <row r="9" spans="7:9" x14ac:dyDescent="0.3">
      <c r="I9">
        <f>1/0.0005</f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4BA4-4A97-4BD9-B887-EF548BF6A37D}">
  <dimension ref="A1:O51"/>
  <sheetViews>
    <sheetView topLeftCell="A5" zoomScale="85" zoomScaleNormal="85" workbookViewId="0">
      <selection activeCell="O39" sqref="O39"/>
    </sheetView>
  </sheetViews>
  <sheetFormatPr baseColWidth="10" defaultColWidth="10.77734375" defaultRowHeight="14.4" x14ac:dyDescent="0.3"/>
  <cols>
    <col min="1" max="1" width="14.21875" customWidth="1"/>
    <col min="2" max="2" width="13.44140625" customWidth="1"/>
    <col min="3" max="3" width="39.6640625" customWidth="1"/>
    <col min="7" max="7" width="34" customWidth="1"/>
    <col min="8" max="8" width="16.6640625" customWidth="1"/>
    <col min="12" max="12" width="17.77734375" customWidth="1"/>
    <col min="13" max="13" width="14.77734375" customWidth="1"/>
  </cols>
  <sheetData>
    <row r="1" spans="1:13" x14ac:dyDescent="0.3">
      <c r="A1" s="1" t="s">
        <v>6</v>
      </c>
      <c r="B1" s="1" t="s">
        <v>0</v>
      </c>
      <c r="C1" s="1" t="s">
        <v>11</v>
      </c>
      <c r="E1" s="3" t="s">
        <v>7</v>
      </c>
      <c r="F1" s="3" t="s">
        <v>8</v>
      </c>
      <c r="G1" s="3" t="s">
        <v>11</v>
      </c>
    </row>
    <row r="3" spans="1:13" x14ac:dyDescent="0.3">
      <c r="A3" s="1" t="s">
        <v>1</v>
      </c>
      <c r="B3" s="1">
        <v>0.5</v>
      </c>
      <c r="C3" s="1" t="s">
        <v>12</v>
      </c>
      <c r="E3" s="3" t="s">
        <v>9</v>
      </c>
      <c r="F3" s="3">
        <f>B3/2</f>
        <v>0.25</v>
      </c>
      <c r="G3" s="3"/>
      <c r="I3" s="25" t="s">
        <v>140</v>
      </c>
      <c r="J3" s="25">
        <f>0.5*J4*J5*J5</f>
        <v>13.536</v>
      </c>
      <c r="L3" s="25" t="s">
        <v>142</v>
      </c>
      <c r="M3" s="25">
        <f>0.5*M4*M5*M5</f>
        <v>8.4600000000000007E-4</v>
      </c>
    </row>
    <row r="4" spans="1:13" x14ac:dyDescent="0.3">
      <c r="A4" s="1" t="s">
        <v>2</v>
      </c>
      <c r="B4" s="1">
        <f>F5</f>
        <v>12</v>
      </c>
      <c r="C4" s="1" t="s">
        <v>13</v>
      </c>
      <c r="E4" s="3" t="s">
        <v>10</v>
      </c>
      <c r="F4" s="3">
        <v>3.7</v>
      </c>
      <c r="G4" s="3"/>
      <c r="I4" s="25" t="s">
        <v>141</v>
      </c>
      <c r="J4" s="26">
        <f>0.00047*4</f>
        <v>1.8799999999999999E-3</v>
      </c>
      <c r="L4" s="25" t="s">
        <v>143</v>
      </c>
      <c r="M4" s="26">
        <v>4.7E-7</v>
      </c>
    </row>
    <row r="5" spans="1:13" x14ac:dyDescent="0.3">
      <c r="A5" s="1" t="s">
        <v>78</v>
      </c>
      <c r="B5" s="1">
        <v>90</v>
      </c>
      <c r="C5" s="1"/>
      <c r="E5" s="3" t="s">
        <v>3</v>
      </c>
      <c r="F5" s="3">
        <v>12</v>
      </c>
      <c r="G5" s="3"/>
      <c r="I5" s="25" t="s">
        <v>3</v>
      </c>
      <c r="J5" s="25">
        <v>120</v>
      </c>
      <c r="L5" s="25" t="s">
        <v>144</v>
      </c>
      <c r="M5" s="25">
        <f>J5/2</f>
        <v>60</v>
      </c>
    </row>
    <row r="6" spans="1:13" x14ac:dyDescent="0.3">
      <c r="A6" s="13" t="s">
        <v>79</v>
      </c>
      <c r="B6" s="1">
        <v>40</v>
      </c>
      <c r="C6" s="1"/>
      <c r="E6" s="3" t="s">
        <v>16</v>
      </c>
      <c r="F6" s="4">
        <f>F3*(F5/F4)</f>
        <v>0.81081081081081074</v>
      </c>
      <c r="G6" s="3" t="s">
        <v>17</v>
      </c>
      <c r="L6" s="25" t="s">
        <v>145</v>
      </c>
      <c r="M6" s="25">
        <f>J3/M3</f>
        <v>15999.999999999998</v>
      </c>
    </row>
    <row r="7" spans="1:13" x14ac:dyDescent="0.3">
      <c r="A7" s="1" t="s">
        <v>5</v>
      </c>
      <c r="B7" s="2">
        <v>100000</v>
      </c>
      <c r="C7" s="1" t="s">
        <v>14</v>
      </c>
      <c r="E7" s="3" t="s">
        <v>18</v>
      </c>
      <c r="F7" s="3">
        <f>((F5*F3)/F4)/F8</f>
        <v>0.95389507154213027</v>
      </c>
      <c r="G7" s="3" t="s">
        <v>19</v>
      </c>
      <c r="L7" s="25" t="s">
        <v>146</v>
      </c>
      <c r="M7" s="26">
        <f>1/B7</f>
        <v>1.0000000000000001E-5</v>
      </c>
    </row>
    <row r="8" spans="1:13" x14ac:dyDescent="0.3">
      <c r="A8" s="1" t="s">
        <v>4</v>
      </c>
      <c r="B8" s="2">
        <f>((B5-B4)*B4)/(B3*B7*B5)</f>
        <v>2.0799999999999999E-4</v>
      </c>
      <c r="C8" s="1" t="s">
        <v>15</v>
      </c>
      <c r="E8" s="3" t="s">
        <v>20</v>
      </c>
      <c r="F8" s="3">
        <v>0.85</v>
      </c>
      <c r="G8" s="3" t="s">
        <v>21</v>
      </c>
      <c r="L8" s="25" t="s">
        <v>147</v>
      </c>
      <c r="M8" s="26">
        <f>M7*M6</f>
        <v>0.16</v>
      </c>
    </row>
    <row r="10" spans="1:13" x14ac:dyDescent="0.3">
      <c r="A10" s="5" t="s">
        <v>22</v>
      </c>
      <c r="B10" s="5" t="s">
        <v>24</v>
      </c>
      <c r="C10" s="5" t="s">
        <v>25</v>
      </c>
      <c r="D10" s="5" t="s">
        <v>26</v>
      </c>
      <c r="E10" s="5" t="s">
        <v>27</v>
      </c>
    </row>
    <row r="11" spans="1:13" x14ac:dyDescent="0.3">
      <c r="A11" s="5" t="s">
        <v>23</v>
      </c>
      <c r="B11" s="7">
        <v>1E-4</v>
      </c>
      <c r="C11" s="5" t="s">
        <v>28</v>
      </c>
      <c r="D11" s="5"/>
      <c r="E11" s="5"/>
    </row>
    <row r="12" spans="1:13" x14ac:dyDescent="0.3">
      <c r="A12" s="5" t="s">
        <v>32</v>
      </c>
      <c r="B12" s="7">
        <v>2.1999999999999998E-9</v>
      </c>
      <c r="C12" s="5" t="s">
        <v>64</v>
      </c>
      <c r="D12" s="5"/>
      <c r="E12" s="5"/>
      <c r="I12" t="s">
        <v>30</v>
      </c>
    </row>
    <row r="13" spans="1:13" x14ac:dyDescent="0.3">
      <c r="A13" s="8" t="s">
        <v>33</v>
      </c>
      <c r="B13" s="9">
        <f>1.72/((B7/1000)*(B12/0.000001))*1000</f>
        <v>7818.181818181818</v>
      </c>
      <c r="C13" s="8" t="s">
        <v>42</v>
      </c>
      <c r="D13" s="8"/>
      <c r="E13" s="8"/>
    </row>
    <row r="14" spans="1:13" x14ac:dyDescent="0.3">
      <c r="A14" s="5" t="s">
        <v>72</v>
      </c>
      <c r="B14" s="7">
        <v>8200</v>
      </c>
      <c r="C14" s="5"/>
      <c r="D14" s="5"/>
      <c r="E14" s="5"/>
    </row>
    <row r="15" spans="1:13" x14ac:dyDescent="0.3">
      <c r="A15" s="8" t="s">
        <v>5</v>
      </c>
      <c r="B15" s="10">
        <f>1.72/((B14/1000)*(B12/0.000001))*1000</f>
        <v>95343.680709534368</v>
      </c>
      <c r="C15" s="8" t="s">
        <v>74</v>
      </c>
      <c r="D15" s="8"/>
      <c r="E15" s="8"/>
      <c r="G15" t="s">
        <v>66</v>
      </c>
      <c r="H15" t="s">
        <v>67</v>
      </c>
      <c r="I15" t="s">
        <v>69</v>
      </c>
    </row>
    <row r="16" spans="1:13" x14ac:dyDescent="0.3">
      <c r="A16" s="8" t="s">
        <v>73</v>
      </c>
      <c r="B16" s="9">
        <f>((B5-B4)*B4)/(B3*B15*B5)</f>
        <v>2.1815813953488374E-4</v>
      </c>
      <c r="C16" s="8" t="s">
        <v>75</v>
      </c>
      <c r="D16" s="8"/>
      <c r="E16" s="8"/>
    </row>
    <row r="17" spans="1:15" x14ac:dyDescent="0.3">
      <c r="A17" s="8" t="s">
        <v>40</v>
      </c>
      <c r="B17" s="9">
        <v>2.9999999999999999E-7</v>
      </c>
      <c r="C17" s="8" t="s">
        <v>41</v>
      </c>
      <c r="D17" s="8"/>
      <c r="E17" s="8"/>
    </row>
    <row r="18" spans="1:15" x14ac:dyDescent="0.3">
      <c r="A18" s="8" t="s">
        <v>39</v>
      </c>
      <c r="B18" s="10">
        <f>1-B17*B7</f>
        <v>0.97</v>
      </c>
      <c r="C18" s="8" t="s">
        <v>43</v>
      </c>
      <c r="D18" s="8"/>
      <c r="E18" s="8"/>
    </row>
    <row r="19" spans="1:15" x14ac:dyDescent="0.3">
      <c r="A19" s="5" t="s">
        <v>34</v>
      </c>
      <c r="B19" s="5">
        <f>1/B3</f>
        <v>2</v>
      </c>
      <c r="C19" s="5" t="s">
        <v>88</v>
      </c>
      <c r="D19" s="5"/>
      <c r="E19" s="5"/>
      <c r="J19" t="s">
        <v>115</v>
      </c>
      <c r="L19" s="6" t="s">
        <v>124</v>
      </c>
      <c r="M19" s="6" t="s">
        <v>123</v>
      </c>
      <c r="N19" s="6" t="s">
        <v>122</v>
      </c>
      <c r="O19" s="6" t="s">
        <v>115</v>
      </c>
    </row>
    <row r="20" spans="1:15" x14ac:dyDescent="0.3">
      <c r="A20" s="5" t="s">
        <v>35</v>
      </c>
      <c r="B20" s="5">
        <v>1000</v>
      </c>
      <c r="C20" s="5" t="s">
        <v>45</v>
      </c>
      <c r="D20" s="5"/>
      <c r="E20" s="5"/>
      <c r="F20" s="22" t="s">
        <v>135</v>
      </c>
      <c r="G20" s="16" t="s">
        <v>23</v>
      </c>
      <c r="H20" s="16" t="s">
        <v>89</v>
      </c>
      <c r="I20" s="16" t="s">
        <v>70</v>
      </c>
      <c r="J20" s="16">
        <v>2</v>
      </c>
      <c r="K20" s="17" t="s">
        <v>125</v>
      </c>
      <c r="L20" s="6" t="s">
        <v>66</v>
      </c>
      <c r="M20" s="6" t="s">
        <v>68</v>
      </c>
      <c r="N20" s="6" t="s">
        <v>70</v>
      </c>
      <c r="O20" s="6">
        <v>2</v>
      </c>
    </row>
    <row r="21" spans="1:15" x14ac:dyDescent="0.3">
      <c r="A21" s="5" t="s">
        <v>36</v>
      </c>
      <c r="B21" s="7">
        <v>4.7000000000000003E-10</v>
      </c>
      <c r="C21" s="5" t="s">
        <v>45</v>
      </c>
      <c r="D21" s="5"/>
      <c r="E21" s="5"/>
      <c r="F21" s="22" t="s">
        <v>135</v>
      </c>
      <c r="G21" s="16" t="s">
        <v>32</v>
      </c>
      <c r="H21" s="16" t="s">
        <v>130</v>
      </c>
      <c r="I21" s="20">
        <v>1206</v>
      </c>
      <c r="J21" s="16">
        <v>5</v>
      </c>
      <c r="K21" s="18" t="s">
        <v>125</v>
      </c>
      <c r="L21" s="6" t="s">
        <v>29</v>
      </c>
      <c r="M21" s="6" t="s">
        <v>65</v>
      </c>
      <c r="N21" s="6" t="s">
        <v>108</v>
      </c>
      <c r="O21" s="6">
        <v>2</v>
      </c>
    </row>
    <row r="22" spans="1:15" x14ac:dyDescent="0.3">
      <c r="A22" s="8" t="s">
        <v>48</v>
      </c>
      <c r="B22" s="8">
        <f>0.1/0.000002</f>
        <v>50000.000000000007</v>
      </c>
      <c r="C22" s="8" t="s">
        <v>49</v>
      </c>
      <c r="D22" s="8"/>
      <c r="E22" s="8"/>
      <c r="F22" s="22"/>
      <c r="G22" s="6" t="s">
        <v>33</v>
      </c>
      <c r="H22" s="6" t="s">
        <v>90</v>
      </c>
      <c r="I22" s="19">
        <v>1206</v>
      </c>
      <c r="J22" s="6">
        <v>5</v>
      </c>
      <c r="L22" s="6" t="s">
        <v>121</v>
      </c>
      <c r="M22" s="6" t="s">
        <v>71</v>
      </c>
      <c r="N22" s="6" t="s">
        <v>70</v>
      </c>
      <c r="O22" s="6">
        <v>2</v>
      </c>
    </row>
    <row r="23" spans="1:15" x14ac:dyDescent="0.3">
      <c r="A23" s="8" t="s">
        <v>52</v>
      </c>
      <c r="B23" s="8">
        <f>B24*0.000002</f>
        <v>0.44</v>
      </c>
      <c r="C23" s="8" t="s">
        <v>53</v>
      </c>
      <c r="D23" s="8"/>
      <c r="E23" s="8"/>
      <c r="F23" s="22" t="s">
        <v>135</v>
      </c>
      <c r="G23" s="16" t="s">
        <v>34</v>
      </c>
      <c r="H23" s="16" t="s">
        <v>91</v>
      </c>
      <c r="I23" s="20">
        <v>1206</v>
      </c>
      <c r="J23" s="16">
        <v>5</v>
      </c>
      <c r="K23" s="18" t="s">
        <v>125</v>
      </c>
      <c r="L23" s="6" t="s">
        <v>117</v>
      </c>
      <c r="M23" s="6" t="s">
        <v>103</v>
      </c>
      <c r="N23" s="6" t="s">
        <v>70</v>
      </c>
      <c r="O23" s="6">
        <v>2</v>
      </c>
    </row>
    <row r="24" spans="1:15" x14ac:dyDescent="0.3">
      <c r="A24" s="5" t="s">
        <v>37</v>
      </c>
      <c r="B24" s="5">
        <v>220000</v>
      </c>
      <c r="C24" s="5"/>
      <c r="D24" s="5"/>
      <c r="E24" s="5"/>
      <c r="F24" s="22"/>
      <c r="G24" s="6" t="s">
        <v>35</v>
      </c>
      <c r="H24" s="6" t="s">
        <v>104</v>
      </c>
      <c r="I24" s="19">
        <v>1206</v>
      </c>
      <c r="J24" s="6">
        <v>5</v>
      </c>
      <c r="L24" s="6" t="s">
        <v>116</v>
      </c>
      <c r="M24" s="6" t="s">
        <v>119</v>
      </c>
      <c r="N24" s="6" t="s">
        <v>70</v>
      </c>
      <c r="O24" s="6">
        <v>2</v>
      </c>
    </row>
    <row r="25" spans="1:15" x14ac:dyDescent="0.3">
      <c r="A25" s="8" t="s">
        <v>38</v>
      </c>
      <c r="B25" s="10">
        <f>B32</f>
        <v>6800</v>
      </c>
      <c r="C25" s="8"/>
      <c r="D25" s="8"/>
      <c r="E25" s="8"/>
      <c r="F25" s="22"/>
      <c r="G25" s="16" t="s">
        <v>36</v>
      </c>
      <c r="H25" s="16" t="s">
        <v>129</v>
      </c>
      <c r="I25" s="20" t="s">
        <v>127</v>
      </c>
      <c r="J25" s="16">
        <v>5</v>
      </c>
      <c r="K25" s="18" t="s">
        <v>125</v>
      </c>
      <c r="L25" s="6" t="s">
        <v>118</v>
      </c>
      <c r="M25" s="6" t="s">
        <v>120</v>
      </c>
      <c r="N25" s="6" t="s">
        <v>70</v>
      </c>
      <c r="O25" s="6">
        <v>2</v>
      </c>
    </row>
    <row r="26" spans="1:15" x14ac:dyDescent="0.3">
      <c r="A26" s="8" t="s">
        <v>3</v>
      </c>
      <c r="B26" s="10">
        <f>2.5*(B24+B25)/B25</f>
        <v>83.382352941176464</v>
      </c>
      <c r="C26" s="8" t="s">
        <v>80</v>
      </c>
      <c r="D26" s="8"/>
      <c r="E26" s="8"/>
      <c r="F26" s="22"/>
      <c r="G26" s="6" t="s">
        <v>37</v>
      </c>
      <c r="H26" s="6" t="s">
        <v>92</v>
      </c>
      <c r="I26" s="19">
        <v>1206</v>
      </c>
      <c r="J26" s="6">
        <v>5</v>
      </c>
      <c r="L26" s="15" t="s">
        <v>29</v>
      </c>
      <c r="M26" s="15" t="s">
        <v>134</v>
      </c>
      <c r="N26" s="15" t="s">
        <v>70</v>
      </c>
      <c r="O26" s="15">
        <v>2</v>
      </c>
    </row>
    <row r="27" spans="1:15" x14ac:dyDescent="0.3">
      <c r="A27" s="8" t="s">
        <v>76</v>
      </c>
      <c r="B27" s="10">
        <f>B24/((B5/2.5) - 1)</f>
        <v>6285.7142857142853</v>
      </c>
      <c r="C27" s="8" t="s">
        <v>78</v>
      </c>
      <c r="D27" s="8"/>
      <c r="E27" s="8"/>
      <c r="F27" s="22"/>
      <c r="G27" s="6" t="s">
        <v>81</v>
      </c>
      <c r="H27" s="6" t="s">
        <v>95</v>
      </c>
      <c r="I27" s="19">
        <v>1206</v>
      </c>
      <c r="J27" s="6">
        <v>5</v>
      </c>
      <c r="L27" s="6"/>
      <c r="M27" s="6"/>
      <c r="N27" s="6"/>
      <c r="O27" s="6"/>
    </row>
    <row r="28" spans="1:15" x14ac:dyDescent="0.3">
      <c r="A28" s="8" t="s">
        <v>77</v>
      </c>
      <c r="B28" s="10">
        <f>B24/((B6/2.5) - 1)</f>
        <v>14666.666666666666</v>
      </c>
      <c r="C28" s="8" t="s">
        <v>79</v>
      </c>
      <c r="D28" s="8"/>
      <c r="E28" s="8"/>
      <c r="F28" s="22"/>
      <c r="G28" s="6" t="s">
        <v>93</v>
      </c>
      <c r="H28" s="6" t="s">
        <v>94</v>
      </c>
      <c r="I28" s="19">
        <v>1206</v>
      </c>
      <c r="J28" s="6">
        <v>5</v>
      </c>
    </row>
    <row r="29" spans="1:15" x14ac:dyDescent="0.3">
      <c r="A29" s="5" t="s">
        <v>81</v>
      </c>
      <c r="B29" s="14">
        <v>6800</v>
      </c>
      <c r="C29" s="5"/>
      <c r="D29" s="5"/>
      <c r="E29" s="5"/>
      <c r="F29" s="22"/>
      <c r="G29" s="16" t="s">
        <v>96</v>
      </c>
      <c r="H29" s="16" t="s">
        <v>97</v>
      </c>
      <c r="I29" s="20">
        <v>1206</v>
      </c>
      <c r="J29" s="16">
        <v>5</v>
      </c>
      <c r="K29" s="18" t="s">
        <v>125</v>
      </c>
    </row>
    <row r="30" spans="1:15" x14ac:dyDescent="0.3">
      <c r="A30" s="5" t="s">
        <v>82</v>
      </c>
      <c r="B30" s="14">
        <v>0</v>
      </c>
      <c r="C30" s="5" t="s">
        <v>85</v>
      </c>
      <c r="D30" s="5"/>
      <c r="E30" s="5"/>
      <c r="F30" s="22"/>
      <c r="G30" s="6" t="s">
        <v>98</v>
      </c>
      <c r="H30" s="6" t="s">
        <v>99</v>
      </c>
      <c r="I30" s="19" t="s">
        <v>127</v>
      </c>
      <c r="J30" s="6">
        <v>5</v>
      </c>
    </row>
    <row r="31" spans="1:15" x14ac:dyDescent="0.3">
      <c r="A31" s="5" t="s">
        <v>83</v>
      </c>
      <c r="B31" s="14">
        <v>10000</v>
      </c>
      <c r="C31" s="5"/>
      <c r="D31" s="5"/>
      <c r="E31" s="5"/>
      <c r="F31" s="22" t="s">
        <v>135</v>
      </c>
      <c r="G31" s="16" t="s">
        <v>100</v>
      </c>
      <c r="H31" s="16" t="s">
        <v>128</v>
      </c>
      <c r="I31" s="20" t="s">
        <v>127</v>
      </c>
      <c r="J31" s="16">
        <v>5</v>
      </c>
      <c r="K31" s="18" t="s">
        <v>125</v>
      </c>
    </row>
    <row r="32" spans="1:15" x14ac:dyDescent="0.3">
      <c r="A32" s="8" t="s">
        <v>84</v>
      </c>
      <c r="B32" s="10">
        <f>B29+(B30*B31)/(B30+B31)</f>
        <v>6800</v>
      </c>
      <c r="C32" s="8"/>
      <c r="D32" s="8"/>
      <c r="E32" s="8"/>
      <c r="F32" s="22" t="s">
        <v>135</v>
      </c>
      <c r="G32" s="16" t="s">
        <v>101</v>
      </c>
      <c r="H32" s="16" t="s">
        <v>102</v>
      </c>
      <c r="I32" s="20" t="s">
        <v>131</v>
      </c>
      <c r="J32" s="16">
        <v>5</v>
      </c>
      <c r="K32" s="18" t="s">
        <v>125</v>
      </c>
    </row>
    <row r="33" spans="1:12" x14ac:dyDescent="0.3">
      <c r="A33" s="8" t="s">
        <v>55</v>
      </c>
      <c r="B33" s="9">
        <f>B5/(B25+B24)</f>
        <v>3.9682539682539683E-4</v>
      </c>
      <c r="C33" s="8" t="s">
        <v>56</v>
      </c>
      <c r="D33" s="8"/>
      <c r="E33" s="8"/>
      <c r="F33" s="22"/>
      <c r="G33" s="6" t="s">
        <v>31</v>
      </c>
      <c r="H33" s="6" t="s">
        <v>106</v>
      </c>
      <c r="I33" s="19">
        <v>1206</v>
      </c>
      <c r="J33" s="6">
        <v>5</v>
      </c>
    </row>
    <row r="34" spans="1:12" x14ac:dyDescent="0.3">
      <c r="A34" s="5" t="s">
        <v>46</v>
      </c>
      <c r="B34" s="5">
        <v>100000</v>
      </c>
      <c r="C34" s="5" t="s">
        <v>51</v>
      </c>
      <c r="D34" s="5"/>
      <c r="E34" s="5"/>
      <c r="F34" s="22"/>
      <c r="G34" s="6" t="s">
        <v>62</v>
      </c>
      <c r="H34" s="6" t="s">
        <v>107</v>
      </c>
      <c r="I34" s="19">
        <v>1206</v>
      </c>
      <c r="J34" s="6">
        <v>5</v>
      </c>
    </row>
    <row r="35" spans="1:12" x14ac:dyDescent="0.3">
      <c r="A35" s="5" t="s">
        <v>47</v>
      </c>
      <c r="B35" s="7">
        <v>1E-8</v>
      </c>
      <c r="C35" s="5"/>
      <c r="D35" s="5"/>
      <c r="E35" s="5"/>
      <c r="F35" s="22"/>
      <c r="G35" s="6" t="s">
        <v>110</v>
      </c>
      <c r="H35" s="6" t="s">
        <v>106</v>
      </c>
      <c r="I35" s="19">
        <v>1206</v>
      </c>
      <c r="J35" s="6">
        <v>2</v>
      </c>
    </row>
    <row r="36" spans="1:12" x14ac:dyDescent="0.3">
      <c r="A36" s="8" t="s">
        <v>54</v>
      </c>
      <c r="B36" s="10">
        <f>1/(2*PI()*B34*B35)</f>
        <v>159.15494309189535</v>
      </c>
      <c r="C36" s="8"/>
      <c r="D36" s="8"/>
      <c r="E36" s="8"/>
      <c r="F36" s="22" t="s">
        <v>135</v>
      </c>
      <c r="G36" s="6" t="s">
        <v>111</v>
      </c>
      <c r="H36" s="6" t="s">
        <v>133</v>
      </c>
      <c r="I36" s="19" t="s">
        <v>109</v>
      </c>
      <c r="J36" s="6">
        <v>2</v>
      </c>
      <c r="K36" s="15" t="s">
        <v>125</v>
      </c>
      <c r="L36" s="21" t="s">
        <v>132</v>
      </c>
    </row>
    <row r="37" spans="1:12" x14ac:dyDescent="0.3">
      <c r="A37" s="8" t="s">
        <v>50</v>
      </c>
      <c r="B37" s="10">
        <f>B34/((B24*B25)/(B24+B25))</f>
        <v>15.160427807486631</v>
      </c>
      <c r="C37" s="8"/>
      <c r="D37" s="8"/>
      <c r="E37" s="8"/>
      <c r="F37" s="22"/>
      <c r="G37" s="6" t="s">
        <v>113</v>
      </c>
      <c r="H37" s="6" t="s">
        <v>112</v>
      </c>
      <c r="I37" s="19" t="s">
        <v>109</v>
      </c>
      <c r="J37" s="6">
        <v>2</v>
      </c>
    </row>
    <row r="38" spans="1:12" x14ac:dyDescent="0.3">
      <c r="A38" s="5" t="s">
        <v>57</v>
      </c>
      <c r="B38" s="5" t="s">
        <v>71</v>
      </c>
      <c r="C38" s="5" t="s">
        <v>61</v>
      </c>
      <c r="D38" s="5"/>
      <c r="E38" s="5"/>
      <c r="F38" s="22"/>
      <c r="G38" s="6" t="s">
        <v>114</v>
      </c>
      <c r="H38" s="6" t="s">
        <v>105</v>
      </c>
      <c r="I38" s="19" t="s">
        <v>109</v>
      </c>
      <c r="J38" s="6">
        <v>2</v>
      </c>
    </row>
    <row r="39" spans="1:12" x14ac:dyDescent="0.3">
      <c r="A39" s="5" t="s">
        <v>58</v>
      </c>
      <c r="B39" s="5">
        <v>22</v>
      </c>
      <c r="C39" s="5" t="s">
        <v>59</v>
      </c>
      <c r="D39" s="5"/>
      <c r="E39" s="5"/>
      <c r="F39" s="22" t="s">
        <v>135</v>
      </c>
      <c r="G39" s="16" t="s">
        <v>66</v>
      </c>
      <c r="H39" s="16" t="s">
        <v>68</v>
      </c>
      <c r="I39" s="20" t="s">
        <v>70</v>
      </c>
      <c r="J39" s="16">
        <v>2</v>
      </c>
      <c r="K39" s="17" t="s">
        <v>125</v>
      </c>
    </row>
    <row r="40" spans="1:12" x14ac:dyDescent="0.3">
      <c r="A40" s="8" t="s">
        <v>60</v>
      </c>
      <c r="B40" s="11">
        <f>B4/B39</f>
        <v>0.54545454545454541</v>
      </c>
      <c r="C40" s="8"/>
      <c r="D40" s="8"/>
      <c r="E40" s="8"/>
      <c r="F40" s="22" t="s">
        <v>135</v>
      </c>
      <c r="G40" s="16" t="s">
        <v>29</v>
      </c>
      <c r="H40" s="16" t="s">
        <v>65</v>
      </c>
      <c r="I40" s="20" t="s">
        <v>108</v>
      </c>
      <c r="J40" s="16">
        <v>2</v>
      </c>
      <c r="K40" s="17" t="s">
        <v>125</v>
      </c>
    </row>
    <row r="41" spans="1:12" x14ac:dyDescent="0.3">
      <c r="A41" s="5" t="s">
        <v>31</v>
      </c>
      <c r="B41" s="7">
        <v>9.9999999999999995E-8</v>
      </c>
      <c r="C41" s="5" t="s">
        <v>63</v>
      </c>
      <c r="D41" s="5"/>
      <c r="E41" s="5"/>
      <c r="F41" s="22" t="s">
        <v>135</v>
      </c>
      <c r="G41" s="16" t="s">
        <v>121</v>
      </c>
      <c r="H41" s="16" t="s">
        <v>71</v>
      </c>
      <c r="I41" s="20" t="s">
        <v>70</v>
      </c>
      <c r="J41" s="16">
        <v>2</v>
      </c>
      <c r="K41" s="17" t="s">
        <v>125</v>
      </c>
    </row>
    <row r="42" spans="1:12" x14ac:dyDescent="0.3">
      <c r="A42" s="5" t="s">
        <v>62</v>
      </c>
      <c r="B42" s="7">
        <v>9.9999999999999995E-7</v>
      </c>
      <c r="C42" s="5" t="s">
        <v>63</v>
      </c>
      <c r="D42" s="5"/>
      <c r="E42" s="5"/>
      <c r="F42" s="22" t="s">
        <v>135</v>
      </c>
      <c r="G42" s="6" t="s">
        <v>117</v>
      </c>
      <c r="H42" s="6" t="s">
        <v>103</v>
      </c>
      <c r="I42" s="19" t="s">
        <v>70</v>
      </c>
      <c r="J42" s="6">
        <v>2</v>
      </c>
      <c r="K42" s="15" t="s">
        <v>126</v>
      </c>
    </row>
    <row r="43" spans="1:12" x14ac:dyDescent="0.3">
      <c r="A43" s="8"/>
      <c r="B43" s="9"/>
      <c r="C43" s="8"/>
      <c r="D43" s="8"/>
      <c r="E43" s="8"/>
      <c r="F43" s="22"/>
      <c r="G43" s="16" t="s">
        <v>116</v>
      </c>
      <c r="H43" s="16" t="s">
        <v>119</v>
      </c>
      <c r="I43" s="20" t="s">
        <v>70</v>
      </c>
      <c r="J43" s="16">
        <v>2</v>
      </c>
      <c r="K43" s="17" t="s">
        <v>125</v>
      </c>
    </row>
    <row r="44" spans="1:12" x14ac:dyDescent="0.3">
      <c r="A44" s="6"/>
      <c r="B44" s="6"/>
      <c r="C44" s="6"/>
      <c r="D44" s="6"/>
      <c r="E44" s="6"/>
      <c r="F44" s="22"/>
      <c r="G44" s="16" t="s">
        <v>118</v>
      </c>
      <c r="H44" s="16" t="s">
        <v>120</v>
      </c>
      <c r="I44" s="20" t="s">
        <v>70</v>
      </c>
      <c r="J44" s="16">
        <v>2</v>
      </c>
      <c r="K44" s="17" t="s">
        <v>125</v>
      </c>
    </row>
    <row r="46" spans="1:12" x14ac:dyDescent="0.3">
      <c r="F46" s="12"/>
    </row>
    <row r="47" spans="1:12" x14ac:dyDescent="0.3">
      <c r="A47" t="s">
        <v>136</v>
      </c>
      <c r="B47" s="23">
        <f>1/(2*3.14*B21*B20)</f>
        <v>338799.29529746575</v>
      </c>
    </row>
    <row r="49" spans="1:2" x14ac:dyDescent="0.3">
      <c r="A49" s="24" t="s">
        <v>137</v>
      </c>
    </row>
    <row r="50" spans="1:2" x14ac:dyDescent="0.3">
      <c r="A50" t="s">
        <v>138</v>
      </c>
      <c r="B50" s="23">
        <v>1.0000000000000001E-9</v>
      </c>
    </row>
    <row r="51" spans="1:2" x14ac:dyDescent="0.3">
      <c r="A51" t="s">
        <v>139</v>
      </c>
      <c r="B51" s="23">
        <f>1/(2*3.14*B50*B47)</f>
        <v>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FDB5-2E91-4F99-8BDF-CF1D670FE71B}">
  <dimension ref="A1:G6"/>
  <sheetViews>
    <sheetView workbookViewId="0">
      <selection activeCell="G4" sqref="G4"/>
    </sheetView>
  </sheetViews>
  <sheetFormatPr baseColWidth="10" defaultRowHeight="14.4" x14ac:dyDescent="0.3"/>
  <sheetData>
    <row r="1" spans="1:7" x14ac:dyDescent="0.3">
      <c r="A1" s="6" t="s">
        <v>148</v>
      </c>
      <c r="B1" s="6" t="s">
        <v>123</v>
      </c>
      <c r="C1" s="6" t="s">
        <v>115</v>
      </c>
    </row>
    <row r="2" spans="1:7" x14ac:dyDescent="0.3">
      <c r="A2" s="6">
        <v>1</v>
      </c>
      <c r="B2" s="6" t="s">
        <v>149</v>
      </c>
      <c r="C2" s="6">
        <v>5</v>
      </c>
    </row>
    <row r="3" spans="1:7" x14ac:dyDescent="0.3">
      <c r="A3" s="6">
        <v>2</v>
      </c>
      <c r="B3" s="6" t="s">
        <v>151</v>
      </c>
      <c r="C3" s="6">
        <v>5</v>
      </c>
      <c r="G3">
        <f>0.35*0.05</f>
        <v>1.7499999999999998E-2</v>
      </c>
    </row>
    <row r="4" spans="1:7" x14ac:dyDescent="0.3">
      <c r="A4" s="6">
        <v>3</v>
      </c>
      <c r="B4" s="6" t="s">
        <v>150</v>
      </c>
      <c r="C4" s="6">
        <v>6</v>
      </c>
    </row>
    <row r="5" spans="1:7" x14ac:dyDescent="0.3">
      <c r="A5" s="6">
        <v>4</v>
      </c>
      <c r="B5" s="6" t="s">
        <v>152</v>
      </c>
      <c r="C5" s="6">
        <v>4</v>
      </c>
    </row>
    <row r="6" spans="1:7" x14ac:dyDescent="0.3">
      <c r="A6" s="15">
        <v>5</v>
      </c>
      <c r="B6" s="15"/>
      <c r="C6" s="15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5EAD-E4CF-424E-B228-AC100FB9C958}">
  <dimension ref="A1:Q24"/>
  <sheetViews>
    <sheetView tabSelected="1" workbookViewId="0">
      <selection activeCell="M13" sqref="M13"/>
    </sheetView>
  </sheetViews>
  <sheetFormatPr baseColWidth="10" defaultRowHeight="14.4" x14ac:dyDescent="0.3"/>
  <sheetData>
    <row r="1" spans="1:17" x14ac:dyDescent="0.3">
      <c r="A1" t="s">
        <v>213</v>
      </c>
      <c r="K1" t="s">
        <v>214</v>
      </c>
    </row>
    <row r="2" spans="1:17" x14ac:dyDescent="0.3">
      <c r="A2" t="s">
        <v>172</v>
      </c>
      <c r="E2" t="s">
        <v>22</v>
      </c>
      <c r="K2" t="s">
        <v>172</v>
      </c>
      <c r="O2" t="s">
        <v>22</v>
      </c>
    </row>
    <row r="3" spans="1:17" x14ac:dyDescent="0.3">
      <c r="A3" t="s">
        <v>153</v>
      </c>
      <c r="B3" s="27">
        <v>1</v>
      </c>
      <c r="E3" t="s">
        <v>153</v>
      </c>
      <c r="F3" s="23">
        <f>F9*F18/F6</f>
        <v>1.0559168925022584</v>
      </c>
      <c r="K3" t="s">
        <v>153</v>
      </c>
      <c r="L3" s="27">
        <v>0.25</v>
      </c>
      <c r="O3" t="s">
        <v>153</v>
      </c>
      <c r="P3" s="23">
        <f>P9*P18/P6</f>
        <v>9.4885185185185184E-2</v>
      </c>
      <c r="Q3">
        <v>9.4885185185185184E-2</v>
      </c>
    </row>
    <row r="4" spans="1:17" x14ac:dyDescent="0.3">
      <c r="A4" t="s">
        <v>154</v>
      </c>
      <c r="B4" s="23">
        <v>100000</v>
      </c>
      <c r="C4" t="s">
        <v>164</v>
      </c>
      <c r="E4" t="s">
        <v>154</v>
      </c>
      <c r="F4" s="23">
        <v>100000</v>
      </c>
      <c r="K4" t="s">
        <v>154</v>
      </c>
      <c r="L4" s="23">
        <v>100000</v>
      </c>
      <c r="M4" t="s">
        <v>164</v>
      </c>
      <c r="O4" t="s">
        <v>154</v>
      </c>
      <c r="P4" s="23">
        <v>100000</v>
      </c>
    </row>
    <row r="5" spans="1:17" x14ac:dyDescent="0.3">
      <c r="A5" t="s">
        <v>155</v>
      </c>
      <c r="B5" s="27">
        <f>B4*(B11-B14)/B14</f>
        <v>2777.7777777777801</v>
      </c>
      <c r="C5" t="s">
        <v>165</v>
      </c>
      <c r="E5" t="s">
        <v>155</v>
      </c>
      <c r="F5">
        <v>2700</v>
      </c>
      <c r="K5" t="s">
        <v>155</v>
      </c>
      <c r="L5" s="27">
        <f>L4*(L11-L14)/L14</f>
        <v>4347.826086956522</v>
      </c>
      <c r="M5" t="s">
        <v>165</v>
      </c>
      <c r="O5" t="s">
        <v>155</v>
      </c>
      <c r="P5">
        <v>2700</v>
      </c>
    </row>
    <row r="6" spans="1:17" x14ac:dyDescent="0.3">
      <c r="A6" t="s">
        <v>156</v>
      </c>
      <c r="B6" s="23">
        <f>B18*B9/B3</f>
        <v>8.5866666666666585E-9</v>
      </c>
      <c r="E6" t="s">
        <v>156</v>
      </c>
      <c r="F6" s="23">
        <v>8.2000000000000006E-9</v>
      </c>
      <c r="K6" t="s">
        <v>156</v>
      </c>
      <c r="L6" s="23">
        <f>L18*L9/L3</f>
        <v>2.5144761904761903E-8</v>
      </c>
      <c r="O6" t="s">
        <v>156</v>
      </c>
      <c r="P6" s="23">
        <v>9.9999999999999995E-8</v>
      </c>
    </row>
    <row r="7" spans="1:17" x14ac:dyDescent="0.3">
      <c r="A7" t="s">
        <v>170</v>
      </c>
      <c r="B7" s="23">
        <f>ABS(B13-B11)/B4</f>
        <v>1.3523809523809529E-5</v>
      </c>
      <c r="E7" t="s">
        <v>170</v>
      </c>
      <c r="F7" s="23">
        <f>ABS(F13-F11)/F4</f>
        <v>1.4000000000000003E-5</v>
      </c>
      <c r="K7" t="s">
        <v>170</v>
      </c>
      <c r="L7" s="23">
        <f>ABS(L13-L11)/L4</f>
        <v>9.6880952380952389E-5</v>
      </c>
      <c r="O7" t="s">
        <v>170</v>
      </c>
      <c r="P7" s="23">
        <f>ABS(P13-P11)/P4</f>
        <v>9.7E-5</v>
      </c>
    </row>
    <row r="8" spans="1:17" x14ac:dyDescent="0.3">
      <c r="A8" t="s">
        <v>171</v>
      </c>
      <c r="B8" s="23">
        <f>B13/B5</f>
        <v>8.4514285714285626E-4</v>
      </c>
      <c r="E8" t="s">
        <v>171</v>
      </c>
      <c r="F8" s="23">
        <f>F13/F5</f>
        <v>8.5185185185185179E-4</v>
      </c>
      <c r="K8" t="s">
        <v>171</v>
      </c>
      <c r="L8" s="23">
        <f>L13/L5</f>
        <v>5.3173809523809521E-4</v>
      </c>
      <c r="O8" t="s">
        <v>171</v>
      </c>
      <c r="P8" s="23">
        <f>P13/P5</f>
        <v>8.5185185185185179E-4</v>
      </c>
    </row>
    <row r="9" spans="1:17" x14ac:dyDescent="0.3">
      <c r="A9" t="s">
        <v>169</v>
      </c>
      <c r="B9" s="23">
        <f>B8+B7</f>
        <v>8.5866666666666578E-4</v>
      </c>
      <c r="E9" t="s">
        <v>169</v>
      </c>
      <c r="F9" s="23">
        <f>SUM(F8,F7)</f>
        <v>8.6585185185185181E-4</v>
      </c>
      <c r="K9" t="s">
        <v>169</v>
      </c>
      <c r="L9" s="23">
        <f>L8+L7</f>
        <v>6.2861904761904756E-4</v>
      </c>
      <c r="O9" t="s">
        <v>169</v>
      </c>
      <c r="P9" s="23">
        <f>SUM(P8,P7)</f>
        <v>9.4885185185185177E-4</v>
      </c>
    </row>
    <row r="10" spans="1:17" x14ac:dyDescent="0.3">
      <c r="A10" t="s">
        <v>157</v>
      </c>
      <c r="B10">
        <v>21</v>
      </c>
      <c r="K10" t="s">
        <v>157</v>
      </c>
      <c r="L10">
        <v>21</v>
      </c>
    </row>
    <row r="11" spans="1:17" x14ac:dyDescent="0.3">
      <c r="A11" t="s">
        <v>167</v>
      </c>
      <c r="B11">
        <v>3.7</v>
      </c>
      <c r="E11" t="s">
        <v>167</v>
      </c>
      <c r="F11">
        <v>3.7</v>
      </c>
      <c r="K11" t="s">
        <v>167</v>
      </c>
      <c r="L11">
        <v>12</v>
      </c>
      <c r="O11" t="s">
        <v>167</v>
      </c>
      <c r="P11">
        <v>12</v>
      </c>
    </row>
    <row r="12" spans="1:17" x14ac:dyDescent="0.3">
      <c r="A12" t="s">
        <v>158</v>
      </c>
      <c r="B12">
        <v>2.2999999999999998</v>
      </c>
      <c r="K12" t="s">
        <v>158</v>
      </c>
      <c r="L12">
        <v>2.2999999999999998</v>
      </c>
    </row>
    <row r="13" spans="1:17" x14ac:dyDescent="0.3">
      <c r="A13" t="s">
        <v>162</v>
      </c>
      <c r="B13" s="28">
        <f>B12+B3/B10</f>
        <v>2.3476190476190473</v>
      </c>
      <c r="E13" t="s">
        <v>162</v>
      </c>
      <c r="F13" s="28">
        <f>2.3</f>
        <v>2.2999999999999998</v>
      </c>
      <c r="K13" t="s">
        <v>162</v>
      </c>
      <c r="L13" s="28">
        <f>L12+L3/L10</f>
        <v>2.3119047619047617</v>
      </c>
      <c r="O13" t="s">
        <v>162</v>
      </c>
      <c r="P13" s="28">
        <f>2.3</f>
        <v>2.2999999999999998</v>
      </c>
    </row>
    <row r="14" spans="1:17" x14ac:dyDescent="0.3">
      <c r="A14" t="s">
        <v>166</v>
      </c>
      <c r="B14">
        <v>3.6</v>
      </c>
      <c r="E14" t="s">
        <v>168</v>
      </c>
      <c r="F14" s="30">
        <f>F11*F5/(F5+F4)</f>
        <v>9.7273612463485884E-2</v>
      </c>
      <c r="K14" t="s">
        <v>166</v>
      </c>
      <c r="L14">
        <v>11.5</v>
      </c>
      <c r="O14" t="s">
        <v>168</v>
      </c>
      <c r="P14" s="30">
        <f>P11*P5/(P5+P4)</f>
        <v>0.31548198636806229</v>
      </c>
    </row>
    <row r="15" spans="1:17" x14ac:dyDescent="0.3">
      <c r="A15" t="s">
        <v>159</v>
      </c>
      <c r="B15">
        <v>25</v>
      </c>
      <c r="E15" t="s">
        <v>166</v>
      </c>
      <c r="F15" s="30">
        <f>F11-F14</f>
        <v>3.6027263875365141</v>
      </c>
      <c r="K15" t="s">
        <v>159</v>
      </c>
      <c r="L15">
        <v>25</v>
      </c>
      <c r="O15" t="s">
        <v>166</v>
      </c>
      <c r="P15" s="30">
        <f>P11-P14</f>
        <v>11.684518013631937</v>
      </c>
    </row>
    <row r="16" spans="1:17" x14ac:dyDescent="0.3">
      <c r="A16" t="s">
        <v>160</v>
      </c>
      <c r="B16" s="23">
        <v>2.6000000000000001E-9</v>
      </c>
      <c r="K16" t="s">
        <v>160</v>
      </c>
      <c r="L16" s="23">
        <v>2.6000000000000001E-9</v>
      </c>
    </row>
    <row r="17" spans="1:16" x14ac:dyDescent="0.3">
      <c r="A17" t="s">
        <v>161</v>
      </c>
      <c r="B17" s="23">
        <v>3.7000000000000001E-10</v>
      </c>
      <c r="K17" t="s">
        <v>161</v>
      </c>
      <c r="L17" s="23">
        <v>3.7000000000000001E-10</v>
      </c>
    </row>
    <row r="18" spans="1:16" x14ac:dyDescent="0.3">
      <c r="A18" t="s">
        <v>163</v>
      </c>
      <c r="B18" s="23">
        <v>1.0000000000000001E-5</v>
      </c>
      <c r="E18" t="s">
        <v>163</v>
      </c>
      <c r="F18" s="23">
        <v>1.0000000000000001E-5</v>
      </c>
      <c r="K18" t="s">
        <v>163</v>
      </c>
      <c r="L18" s="23">
        <v>1.0000000000000001E-5</v>
      </c>
      <c r="O18" t="s">
        <v>163</v>
      </c>
      <c r="P18" s="23">
        <v>1.0000000000000001E-5</v>
      </c>
    </row>
    <row r="19" spans="1:16" x14ac:dyDescent="0.3">
      <c r="E19" t="s">
        <v>173</v>
      </c>
      <c r="F19" s="29">
        <f>F18*F11/F3</f>
        <v>3.50406364958508E-5</v>
      </c>
      <c r="O19" t="s">
        <v>173</v>
      </c>
      <c r="P19" s="29">
        <f>P18*P11/P3</f>
        <v>1.2646863655880404E-3</v>
      </c>
    </row>
    <row r="21" spans="1:16" x14ac:dyDescent="0.3">
      <c r="E21" t="s">
        <v>176</v>
      </c>
      <c r="F21">
        <v>10</v>
      </c>
    </row>
    <row r="22" spans="1:16" x14ac:dyDescent="0.3">
      <c r="E22" t="s">
        <v>174</v>
      </c>
      <c r="F22">
        <v>100000</v>
      </c>
    </row>
    <row r="23" spans="1:16" x14ac:dyDescent="0.3">
      <c r="E23" t="s">
        <v>175</v>
      </c>
      <c r="F23">
        <v>82000</v>
      </c>
    </row>
    <row r="24" spans="1:16" x14ac:dyDescent="0.3">
      <c r="F24">
        <f>F21*F23/(F23+F22)</f>
        <v>4.5054945054945055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4D00-5299-4471-8A3C-D63C3C4EF426}">
  <dimension ref="A1:S11"/>
  <sheetViews>
    <sheetView workbookViewId="0">
      <selection activeCell="Q4" sqref="Q4"/>
    </sheetView>
  </sheetViews>
  <sheetFormatPr baseColWidth="10" defaultRowHeight="14.4" x14ac:dyDescent="0.3"/>
  <cols>
    <col min="5" max="5" width="1.77734375" customWidth="1"/>
    <col min="10" max="10" width="1.44140625" customWidth="1"/>
    <col min="15" max="15" width="1.88671875" customWidth="1"/>
    <col min="16" max="16" width="13.109375" customWidth="1"/>
    <col min="20" max="20" width="1.33203125" customWidth="1"/>
  </cols>
  <sheetData>
    <row r="1" spans="1:19" x14ac:dyDescent="0.3">
      <c r="A1" t="s">
        <v>177</v>
      </c>
      <c r="F1" t="s">
        <v>178</v>
      </c>
      <c r="K1" t="s">
        <v>179</v>
      </c>
      <c r="P1" t="s">
        <v>203</v>
      </c>
    </row>
    <row r="2" spans="1:19" x14ac:dyDescent="0.3">
      <c r="A2" t="s">
        <v>124</v>
      </c>
      <c r="B2" t="s">
        <v>123</v>
      </c>
      <c r="C2" t="s">
        <v>115</v>
      </c>
      <c r="D2" t="s">
        <v>188</v>
      </c>
      <c r="F2" t="s">
        <v>124</v>
      </c>
      <c r="G2" t="s">
        <v>123</v>
      </c>
      <c r="H2" t="s">
        <v>115</v>
      </c>
      <c r="I2" t="s">
        <v>188</v>
      </c>
      <c r="K2" t="s">
        <v>124</v>
      </c>
      <c r="L2" t="s">
        <v>123</v>
      </c>
      <c r="M2" t="s">
        <v>115</v>
      </c>
      <c r="N2" t="s">
        <v>188</v>
      </c>
      <c r="P2" t="s">
        <v>124</v>
      </c>
      <c r="Q2" t="s">
        <v>123</v>
      </c>
      <c r="R2" t="s">
        <v>115</v>
      </c>
      <c r="S2" t="s">
        <v>188</v>
      </c>
    </row>
    <row r="3" spans="1:19" x14ac:dyDescent="0.3">
      <c r="A3" s="13" t="s">
        <v>182</v>
      </c>
      <c r="B3" s="13" t="s">
        <v>185</v>
      </c>
      <c r="C3" s="13">
        <v>2</v>
      </c>
      <c r="D3" s="13" t="s">
        <v>189</v>
      </c>
      <c r="F3" s="13" t="s">
        <v>181</v>
      </c>
      <c r="G3" s="13" t="s">
        <v>180</v>
      </c>
      <c r="H3" s="13">
        <v>1</v>
      </c>
      <c r="I3" s="13" t="s">
        <v>189</v>
      </c>
      <c r="K3" t="s">
        <v>194</v>
      </c>
      <c r="L3" t="s">
        <v>197</v>
      </c>
      <c r="M3">
        <v>1</v>
      </c>
      <c r="N3" t="s">
        <v>192</v>
      </c>
      <c r="P3" s="13" t="s">
        <v>199</v>
      </c>
      <c r="Q3" s="13" t="s">
        <v>200</v>
      </c>
      <c r="R3" s="13">
        <v>1</v>
      </c>
      <c r="S3" s="13" t="s">
        <v>189</v>
      </c>
    </row>
    <row r="4" spans="1:19" x14ac:dyDescent="0.3">
      <c r="A4" t="s">
        <v>183</v>
      </c>
      <c r="B4" t="s">
        <v>184</v>
      </c>
      <c r="C4">
        <v>2</v>
      </c>
      <c r="D4" t="s">
        <v>192</v>
      </c>
      <c r="F4" t="s">
        <v>190</v>
      </c>
      <c r="G4" t="s">
        <v>191</v>
      </c>
      <c r="H4">
        <v>1</v>
      </c>
      <c r="I4" t="s">
        <v>192</v>
      </c>
      <c r="K4" t="s">
        <v>195</v>
      </c>
      <c r="L4" t="s">
        <v>196</v>
      </c>
      <c r="M4">
        <v>1</v>
      </c>
      <c r="N4" t="s">
        <v>192</v>
      </c>
      <c r="P4" s="13" t="s">
        <v>202</v>
      </c>
      <c r="Q4" s="13" t="s">
        <v>201</v>
      </c>
      <c r="R4" s="13">
        <v>2</v>
      </c>
      <c r="S4" s="13" t="s">
        <v>189</v>
      </c>
    </row>
    <row r="5" spans="1:19" x14ac:dyDescent="0.3">
      <c r="A5" t="s">
        <v>186</v>
      </c>
      <c r="B5" t="s">
        <v>187</v>
      </c>
      <c r="C5">
        <v>2</v>
      </c>
      <c r="D5" t="s">
        <v>192</v>
      </c>
      <c r="F5" s="31" t="s">
        <v>193</v>
      </c>
      <c r="G5" s="31" t="s">
        <v>68</v>
      </c>
      <c r="H5" s="31">
        <v>1</v>
      </c>
      <c r="I5" s="31" t="s">
        <v>189</v>
      </c>
      <c r="K5" s="13" t="s">
        <v>183</v>
      </c>
      <c r="L5" s="13" t="s">
        <v>198</v>
      </c>
      <c r="M5" s="13">
        <v>1</v>
      </c>
      <c r="N5" s="13" t="s">
        <v>189</v>
      </c>
      <c r="P5" t="s">
        <v>206</v>
      </c>
      <c r="Q5" t="s">
        <v>207</v>
      </c>
      <c r="R5">
        <v>1</v>
      </c>
      <c r="S5" t="s">
        <v>192</v>
      </c>
    </row>
    <row r="6" spans="1:19" x14ac:dyDescent="0.3">
      <c r="F6" s="32" t="s">
        <v>211</v>
      </c>
      <c r="G6" s="33" t="s">
        <v>210</v>
      </c>
      <c r="H6" s="32">
        <v>1</v>
      </c>
      <c r="I6" s="32" t="s">
        <v>192</v>
      </c>
      <c r="K6" t="s">
        <v>183</v>
      </c>
      <c r="L6" t="s">
        <v>184</v>
      </c>
      <c r="M6">
        <v>1</v>
      </c>
      <c r="N6" t="s">
        <v>192</v>
      </c>
    </row>
    <row r="7" spans="1:19" x14ac:dyDescent="0.3">
      <c r="F7" t="s">
        <v>212</v>
      </c>
      <c r="G7">
        <f>(3.3-1.4)/0.01</f>
        <v>190</v>
      </c>
      <c r="K7" t="s">
        <v>204</v>
      </c>
      <c r="L7" t="s">
        <v>205</v>
      </c>
      <c r="M7">
        <v>4</v>
      </c>
      <c r="N7" t="s">
        <v>192</v>
      </c>
    </row>
    <row r="9" spans="1:19" x14ac:dyDescent="0.3">
      <c r="A9" t="s">
        <v>208</v>
      </c>
    </row>
    <row r="10" spans="1:19" x14ac:dyDescent="0.3">
      <c r="A10" t="s">
        <v>124</v>
      </c>
      <c r="B10" t="s">
        <v>123</v>
      </c>
      <c r="C10" t="s">
        <v>115</v>
      </c>
      <c r="D10" t="s">
        <v>188</v>
      </c>
    </row>
    <row r="11" spans="1:19" x14ac:dyDescent="0.3">
      <c r="A11" t="s">
        <v>141</v>
      </c>
      <c r="B11" t="s">
        <v>209</v>
      </c>
      <c r="C11">
        <v>1</v>
      </c>
      <c r="D11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Comp</vt:lpstr>
      <vt:lpstr>Transistores Rdson</vt:lpstr>
      <vt:lpstr>SoftStartSW</vt:lpstr>
      <vt:lpstr>Componentes DriverLanzador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Martin Rodriguez</dc:creator>
  <cp:lastModifiedBy>Juan Martin Rodriguez</cp:lastModifiedBy>
  <dcterms:created xsi:type="dcterms:W3CDTF">2025-11-23T15:50:02Z</dcterms:created>
  <dcterms:modified xsi:type="dcterms:W3CDTF">2026-01-18T13:36:35Z</dcterms:modified>
</cp:coreProperties>
</file>